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USHRI\Downloads\Work-Order-Management-System-Software -Testing-Assignment\work-order-system\"/>
    </mc:Choice>
  </mc:AlternateContent>
  <xr:revisionPtr revIDLastSave="0" documentId="13_ncr:1_{8DA27C11-BC96-433D-9712-810BE8FF7DF4}" xr6:coauthVersionLast="47" xr6:coauthVersionMax="47" xr10:uidLastSave="{00000000-0000-0000-0000-000000000000}"/>
  <bookViews>
    <workbookView xWindow="-108" yWindow="-108" windowWidth="23256" windowHeight="12456" tabRatio="500" xr2:uid="{00000000-000D-0000-FFFF-FFFF00000000}"/>
  </bookViews>
  <sheets>
    <sheet name="Test Cases" sheetId="1" r:id="rId1"/>
    <sheet name="Summary" sheetId="2" r:id="rId2"/>
  </sheets>
  <definedNames>
    <definedName name="_xlnm._FilterDatabase" localSheetId="0" hidden="1">'Test Cases'!$A$1:$L$26</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38" i="2" l="1"/>
  <c r="B37" i="2"/>
  <c r="B36" i="2"/>
  <c r="B32" i="2"/>
  <c r="B31" i="2"/>
  <c r="B30" i="2"/>
  <c r="B29" i="2"/>
  <c r="B28" i="2"/>
  <c r="B27" i="2"/>
  <c r="B26" i="2"/>
  <c r="B25" i="2"/>
  <c r="B24" i="2"/>
  <c r="B23" i="2"/>
  <c r="B22" i="2"/>
  <c r="B21" i="2"/>
  <c r="B17" i="2"/>
  <c r="B16" i="2"/>
  <c r="B15" i="2"/>
  <c r="B14" i="2"/>
  <c r="B13" i="2"/>
  <c r="B7" i="2"/>
  <c r="B6" i="2"/>
  <c r="B5" i="2"/>
  <c r="B4" i="2"/>
  <c r="B8" i="2" l="1"/>
  <c r="B9" i="2" s="1"/>
</calcChain>
</file>

<file path=xl/sharedStrings.xml><?xml version="1.0" encoding="utf-8"?>
<sst xmlns="http://schemas.openxmlformats.org/spreadsheetml/2006/main" count="350" uniqueCount="197">
  <si>
    <t>ID</t>
  </si>
  <si>
    <t>Title</t>
  </si>
  <si>
    <t>Precondition</t>
  </si>
  <si>
    <t>Steps</t>
  </si>
  <si>
    <t>Test Data</t>
  </si>
  <si>
    <t>Expected Result</t>
  </si>
  <si>
    <t>Actual Result</t>
  </si>
  <si>
    <t>Status</t>
  </si>
  <si>
    <t>Requirement</t>
  </si>
  <si>
    <t>Type</t>
  </si>
  <si>
    <t>Priority</t>
  </si>
  <si>
    <t>Interface</t>
  </si>
  <si>
    <t>TC-001</t>
  </si>
  <si>
    <t>Manager logs in with valid credentials</t>
  </si>
  <si>
    <t>Seeded DB (python manage.py seed_demo), server running at http://127.0.0.1:8000; user is logged out</t>
  </si>
  <si>
    <t>1. Go to /app/login/; 2. Enter username and password; 3. Click Sign in</t>
  </si>
  <si>
    <t>username: manager1; password: Demo@12345</t>
  </si>
  <si>
    <t>Redirected to /app/ (dashboard); header shows "Mia Manager" with role "Manager"; sidebar shows Customers and Reports links</t>
  </si>
  <si>
    <t>Not Run</t>
  </si>
  <si>
    <t>Authentication &amp; access</t>
  </si>
  <si>
    <t>Positive</t>
  </si>
  <si>
    <t>High</t>
  </si>
  <si>
    <t>UI</t>
  </si>
  <si>
    <t>TC-002</t>
  </si>
  <si>
    <t>Login fails with wrong password</t>
  </si>
  <si>
    <t>Seeded DB (python manage.py seed_demo), server running at http://127.0.0.1:8000</t>
  </si>
  <si>
    <t>1. Go to /app/login/; 2. Enter valid username and wrong password; 3. Click Sign in</t>
  </si>
  <si>
    <t>Message "Invalid username or password." shown; user stays on login page; no session created</t>
  </si>
  <si>
    <t>Negative</t>
  </si>
  <si>
    <t>Medium</t>
  </si>
  <si>
    <t>TC-003</t>
  </si>
  <si>
    <t>Obtain token with valid credentials</t>
  </si>
  <si>
    <t>1. POST /api/auth/token/ with form fields username and password</t>
  </si>
  <si>
    <t>username: customer1; password: Demo@12345</t>
  </si>
  <si>
    <t>200; JSON contains a non-empty "token" key</t>
  </si>
  <si>
    <t>API</t>
  </si>
  <si>
    <t>TC-004</t>
  </si>
  <si>
    <t>List work orders without credentials</t>
  </si>
  <si>
    <t>1. GET /api/work-orders/ with no Authorization header</t>
  </si>
  <si>
    <t>-</t>
  </si>
  <si>
    <t>401 Unauthorized; no data returned</t>
  </si>
  <si>
    <t>Security</t>
  </si>
  <si>
    <t>TC-005</t>
  </si>
  <si>
    <t>Customer creates a request with all fields</t>
  </si>
  <si>
    <t>Seeded DB (python manage.py seed_demo), server running at http://127.0.0.1:8000; logged in as customer1</t>
  </si>
  <si>
    <t>1. Click '+ New work order'; 2. Fill title, description, priority, location; 3. Click Create work order</t>
  </si>
  <si>
    <t>title: Leaking pipe in kitchen; description: Water dripping under the sink since morning; priority: High; location: Building B, Room 12</t>
  </si>
  <si>
    <t>Redirect to new order detail; message "Service request created successfully."; status Open; customer = Cara Client; technician Unassigned; priority High; history shows Created by customer1</t>
  </si>
  <si>
    <t>Service request creation</t>
  </si>
  <si>
    <t>TC-006</t>
  </si>
  <si>
    <t>Whitespace-only title is rejected by the server</t>
  </si>
  <si>
    <t>1. Enter spaces only in Title; 2. Fill description and priority; 3. Submit</t>
  </si>
  <si>
    <t>title: "     "; description: Test; priority: Low</t>
  </si>
  <si>
    <t>Form redisplayed with "Title is required."; no record created</t>
  </si>
  <si>
    <t>TC-007</t>
  </si>
  <si>
    <t>Missing priority</t>
  </si>
  <si>
    <t>Seeded DB (python manage.py seed_demo), server running at http://127.0.0.1:8000; token for the user obtained</t>
  </si>
  <si>
    <t>1. POST as customer1 without priority</t>
  </si>
  <si>
    <t>{"title":"t","description":"d"}</t>
  </si>
  <si>
    <t>400; priority required</t>
  </si>
  <si>
    <t>Priority management</t>
  </si>
  <si>
    <t>TC-008</t>
  </si>
  <si>
    <t>Customer cannot spoof customer_id</t>
  </si>
  <si>
    <t>1. POST as customer1 including customer_id of customer2</t>
  </si>
  <si>
    <t>customer_id: &lt;customer2 id&gt;</t>
  </si>
  <si>
    <t>201; order belongs to customer1; customer2 cannot see it</t>
  </si>
  <si>
    <t>TC-009</t>
  </si>
  <si>
    <t>Technician cannot create</t>
  </si>
  <si>
    <t>1. POST as tech1 with valid body</t>
  </si>
  <si>
    <t>valid body</t>
  </si>
  <si>
    <t>403 "Technicians cannot create customer requests."</t>
  </si>
  <si>
    <t>Role-based permissions</t>
  </si>
  <si>
    <t>TC-010</t>
  </si>
  <si>
    <t>Manager creates for a valid customer</t>
  </si>
  <si>
    <t>1. POST as manager1 with customer_id of customer2</t>
  </si>
  <si>
    <t>201; customer on the order = customer2; history CREATED actor manager1</t>
  </si>
  <si>
    <t>Customer management</t>
  </si>
  <si>
    <t>TC-011</t>
  </si>
  <si>
    <t>Manager assigns technician</t>
  </si>
  <si>
    <t>Seeded DB (python manage.py seed_demo), server running at http://127.0.0.1:8000; token for the user obtained; OPEN order id X</t>
  </si>
  <si>
    <t>1. POST /api/work-orders/X/assign/ as manager1</t>
  </si>
  <si>
    <t>{"technician_id":&lt;tech1 id&gt;,"note":"North region"}</t>
  </si>
  <si>
    <t>200; technician = tech1; status ASSIGNED; history has ASSIGNED event with note</t>
  </si>
  <si>
    <t>Technician assignment</t>
  </si>
  <si>
    <t>TC-012</t>
  </si>
  <si>
    <t>Customer cannot assign</t>
  </si>
  <si>
    <t>1. POST assign as customer1 on own order</t>
  </si>
  <si>
    <t>technician_id: &lt;tech1 id&gt;</t>
  </si>
  <si>
    <t>403; order unchanged</t>
  </si>
  <si>
    <t>TC-013</t>
  </si>
  <si>
    <t>Assign a customer account as technician</t>
  </si>
  <si>
    <t>1. POST assign as manager1 with customer1's id</t>
  </si>
  <si>
    <t>technician_id: &lt;customer1 id&gt;</t>
  </si>
  <si>
    <t>400; "Assigned user must have the Technician role."</t>
  </si>
  <si>
    <t>TC-014</t>
  </si>
  <si>
    <t>Reassign COMPLETED order refused</t>
  </si>
  <si>
    <t>1. POST assign as manager1 on COMPLETED order</t>
  </si>
  <si>
    <t>technician_id: &lt;tech2 id&gt;</t>
  </si>
  <si>
    <t>400 "Completed work orders cannot be reassigned."; technician unchanged</t>
  </si>
  <si>
    <t>Workflow negative</t>
  </si>
  <si>
    <t>TC-015</t>
  </si>
  <si>
    <t>End-to-end lifecycle through the web UI</t>
  </si>
  <si>
    <t>Seeded DB; accounts customer1, manager1, tech1</t>
  </si>
  <si>
    <t>1. customer1 creates request; 2. manager1 assigns tech1; 3. tech1 clicks the move-to-In progress button; 4. tech1 clicks the move-to-Completed button; 5. manager1 clicks 'Move to Closed'; 6. Open Activity history after each step</t>
  </si>
  <si>
    <t>priority: High</t>
  </si>
  <si>
    <t>Status goes Open -&gt; Assigned -&gt; In progress -&gt; Completed -&gt; Closed; after each step the history gets one new entry with correct actor; badge colour/text matches status; after Closed the Next status panel says "No valid next status."</t>
  </si>
  <si>
    <t>Status management</t>
  </si>
  <si>
    <t>Workflow</t>
  </si>
  <si>
    <t>TC-016</t>
  </si>
  <si>
    <t>Skip a step: OPEN to COMPLETED</t>
  </si>
  <si>
    <t>1. POST transition as manager1 on OPEN order</t>
  </si>
  <si>
    <t>{"status":"COMPLETED"}</t>
  </si>
  <si>
    <t>400 "Invalid transition from OPEN to COMPLETED."; status unchanged</t>
  </si>
  <si>
    <t>TC-017</t>
  </si>
  <si>
    <t>Technician cannot close</t>
  </si>
  <si>
    <t>1. POST transition as tech1 on COMPLETED order</t>
  </si>
  <si>
    <t>{"status":"CLOSED"}</t>
  </si>
  <si>
    <t>403; order remains COMPLETED</t>
  </si>
  <si>
    <t>TC-018</t>
  </si>
  <si>
    <t>Other technician cannot transition</t>
  </si>
  <si>
    <t>1. POST transition as tech2 on tech1's order</t>
  </si>
  <si>
    <t>{"status":"IN_PROGRESS"}</t>
  </si>
  <si>
    <t>404 (outside scoped queryset); status unchanged</t>
  </si>
  <si>
    <t>TC-019</t>
  </si>
  <si>
    <t>PATCH cannot change status</t>
  </si>
  <si>
    <t>1. PATCH as manager1</t>
  </si>
  <si>
    <t>400 "Use the dedicated status or assignment action."; status unchanged</t>
  </si>
  <si>
    <t>TC-020</t>
  </si>
  <si>
    <t>Closed order locked for manager, open for admin</t>
  </si>
  <si>
    <t>1. PATCH title as manager1 on CLOSED order; 2. PATCH title as admin on same order</t>
  </si>
  <si>
    <t>{"title":"Edited"}</t>
  </si>
  <si>
    <t>Manager 403 unchanged; admin 200</t>
  </si>
  <si>
    <t>Work order management</t>
  </si>
  <si>
    <t>TC-021</t>
  </si>
  <si>
    <t>Technician lists only own assignments</t>
  </si>
  <si>
    <t>1. GET /api/work-orders/ as tech1; 2. GET as tech2</t>
  </si>
  <si>
    <t>Each technician receives only own assigned orders</t>
  </si>
  <si>
    <t>TC-023</t>
  </si>
  <si>
    <t>Comments / notes</t>
  </si>
  <si>
    <t>TC-024</t>
  </si>
  <si>
    <t>Attachments</t>
  </si>
  <si>
    <t>TC-025</t>
  </si>
  <si>
    <t>TC-026</t>
  </si>
  <si>
    <t>Basic reports</t>
  </si>
  <si>
    <t>Reports restricted to managers/admins</t>
  </si>
  <si>
    <t>1. GET summary as customer1; 2. GET as tech1; 3. GET with no token</t>
  </si>
  <si>
    <t>403, 403, 401</t>
  </si>
  <si>
    <t>Create customer</t>
  </si>
  <si>
    <t>1. POST /api/customers/ as manager1</t>
  </si>
  <si>
    <t>{"username":"newcust","password":"Str0ng!Pass#2026","email":"n@x.com","first_name":"New","last_name":"Cust","company":"Initech","phone":"555-0100"}</t>
  </si>
  <si>
    <t>201; role Customer; password absent from response; company/phone saved</t>
  </si>
  <si>
    <t>Tampered invalid status is rejected</t>
  </si>
  <si>
    <t>Seeded DB (python manage.py seed_demo), server running at http://127.0.0.1:8000; admin; IN_PROGRESS order; dev tools</t>
  </si>
  <si>
    <t>1. Add option CLOSED to Status select; 2. Select it and Save</t>
  </si>
  <si>
    <t>status: CLOSED</t>
  </si>
  <si>
    <t>Save rejected with "Invalid transition from IN_PROGRESS to CLOSED."; status stays IN_PROGRESS</t>
  </si>
  <si>
    <t>Admin</t>
  </si>
  <si>
    <t>Every action is recorded in order</t>
  </si>
  <si>
    <t>Seeded DB (python manage.py seed_demo), server running at http://127.0.0.1:8000; token for the user obtained; new order</t>
  </si>
  <si>
    <t>1. Create order; 2. Assign technician; 3. Move to In progress; 4. Add comment; 5. Upload attachment; 6. Change priority; 7. Move to Completed</t>
  </si>
  <si>
    <t>GET order shows history oldest first: CREATED, ASSIGNED, STATUS_CHANGED, COMMENTED, ATTACHMENT_ADDED, PRIORITY_CHANGED, STATUS_CHANGED; each with correct actor and timestamp; UI Activity history shows the same sequence</t>
  </si>
  <si>
    <t>Work history</t>
  </si>
  <si>
    <t>Execution and coverage summary</t>
  </si>
  <si>
    <t>Count</t>
  </si>
  <si>
    <t>Pass</t>
  </si>
  <si>
    <t>Fail</t>
  </si>
  <si>
    <t>Blocked</t>
  </si>
  <si>
    <t>Total</t>
  </si>
  <si>
    <t>Pass rate of executed</t>
  </si>
  <si>
    <t>By type</t>
  </si>
  <si>
    <t>Cases</t>
  </si>
  <si>
    <t>By requirement</t>
  </si>
  <si>
    <t>By interface</t>
  </si>
  <si>
    <t>Entered username admin and wrong password demo@1456, then clicked Sign in. The login page reloaded with the red message "Invalid username or password." The user stayed on /app/login/ and was not logged in. The username field was cleared.</t>
  </si>
  <si>
    <t>POST /api/auth/token/ with username customer1 and password Demo@12345 succeeded (200 OK) and returned a non-empty "token" (40-character value).</t>
  </si>
  <si>
    <t>GET /api/work-orders/ with no Authorization header returned 401 Unauthorized with {"detail":"Authentication credentials were not provided."}. No work order data was returned.</t>
  </si>
  <si>
    <t>Logged in as customer1 and created a request with the given data. Redirected to the new order detail page. Message "Service request created successfully." Status Open, customer Cara Client, technician Unassigned, priority High. Activity history shows Created by customer1.</t>
  </si>
  <si>
    <t>400 Bad Request; priority is required; no record created.</t>
  </si>
  <si>
    <t>201 Created; order ID 11 was created and belongs to customer1 (customer_id 5), despite sending customer_id 6</t>
  </si>
  <si>
    <t>403 with Technicians cannot create customer requests.</t>
  </si>
  <si>
    <t>201; order 12 customer_id=6; history CREATED actor_id=2</t>
  </si>
  <si>
    <t>200; tech1 assigned; status ASSIGNED; ASSIGNED history with "North region"</t>
  </si>
  <si>
    <t>403; permission denied; order 11 remained unassigned and OPEN</t>
  </si>
  <si>
    <t xml:space="preserve">400; reassignment refused; technician remained tech1 (ID 3) </t>
  </si>
  <si>
    <t>Logged in as admin. Redirected to the dashboard (Overview page). Header shows "Mia Manager" with role "Manager". Sidebar shows Dashboard, Work Orders, Customers and Reports.</t>
  </si>
  <si>
    <t>username: manager; password: demo@1456</t>
  </si>
  <si>
    <t>Customer1 successfully created the work order with OPEN status. Manager1 assigned the work order to tech1 (Tom Tech). Tech1 moved the work order from ASSIGNED → IN_PROGRESS and then IN_PROGRESS → COMPLETED. Manager1 then moved the work order from COMPLETED → CLOSED. The Activity History correctly recorded each action with the respective actor. After closing, the page displayed “No valid next status.”</t>
  </si>
  <si>
    <t>Manager1 attempted to transition work order #11 directly from OPEN → COMPLETED. The server rejected the request with HTTP 400 and message “Invalid transition from OPEN to COMPLETED.” The work-order status remained OPEN.</t>
  </si>
  <si>
    <t>Tech1 attempted to transition work order #9 from COMPLETED → CLOSED. The server rejected the request with HTTP 403 Forbidden. The work order status remained COMPLETED.</t>
  </si>
  <si>
    <t>Tech2 receives HTTP 404 (Not Found) because the order is outside tech2's scoped queryset. The order's status remains unchanged.</t>
  </si>
  <si>
    <t>Server rejects the request with HTTP 400 and message:
"Use the dedicated status or assignment action."</t>
  </si>
  <si>
    <t>Manager1 receives HTTP 403 Forbidden and the title remains unchanged.
Admin can edit the same CLOSED order successfully with HTTP 200.</t>
  </si>
  <si>
    <t>GET /api/work-orders/ as tech1 returned only work orders assigned to tech1 (technician ID 3). GET /api/work-orders/ as tech2 returned only work orders assigned to tech2 (technician ID 4). Each technician could access only their own assigned work orders.</t>
  </si>
  <si>
    <t>Customer1: 403 Forbidden; Tech1: 403 Forbidden; No token: 401 Unauthorized</t>
  </si>
  <si>
    <t>Customer newcust was successfully created with ID 10. Email, first name, last name, phone, and company were saved correctly. Password was not included in the response.</t>
  </si>
  <si>
    <t>Save was rejected with “Invalid transition from IN_PROGRESS to CLOSED.” The work order status remained IN_PROGRESS.</t>
  </si>
  <si>
    <t>GET order history and UI Activity History show all actions in chronological order: CREATED, ASSIGNED, STATUS_CHANGED, COMMENTED, ATTACHMENT_ADDED, PRIORITY_CHANGED, STATUS_CHANGED, with correct actors and timestamps.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</si>
</sst>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charset val="1"/>
    </font>
    <font>
      <b/>
      <sz val="10"/>
      <color rgb="FFFFFFFF"/>
      <name val="Arial"/>
      <charset val="1"/>
    </font>
    <font>
      <sz val="10"/>
      <name val="Arial"/>
      <charset val="1"/>
    </font>
    <font>
      <b/>
      <sz val="14"/>
      <name val="Arial"/>
      <charset val="1"/>
    </font>
    <font>
      <b/>
      <sz val="12"/>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0" xfId="0" applyFont="1"/>
    <xf numFmtId="0" fontId="1" fillId="2" borderId="0" xfId="0" applyFont="1" applyFill="1"/>
    <xf numFmtId="0" fontId="2" fillId="0" borderId="0" xfId="0" applyFont="1"/>
    <xf numFmtId="164" fontId="2" fillId="0" borderId="0" xfId="0" applyNumberFormat="1" applyFont="1"/>
    <xf numFmtId="0" fontId="4" fillId="0" borderId="0" xfId="0" applyFont="1"/>
  </cellXfs>
  <cellStyles count="1">
    <cellStyle name="Normal" xfId="0" builtinId="0"/>
  </cellStyles>
  <dxfs count="3">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zoomScale="73" zoomScaleNormal="73" workbookViewId="0">
      <pane xSplit="2" ySplit="1" topLeftCell="C22" activePane="bottomRight" state="frozen"/>
      <selection pane="topRight" activeCell="C1" sqref="C1"/>
      <selection pane="bottomLeft" activeCell="A2" sqref="A2"/>
      <selection pane="bottomRight" activeCell="A26" sqref="A26"/>
    </sheetView>
  </sheetViews>
  <sheetFormatPr defaultColWidth="8.6640625" defaultRowHeight="14.4" x14ac:dyDescent="0.3"/>
  <cols>
    <col min="1" max="1" width="9" customWidth="1"/>
    <col min="2" max="2" width="40" customWidth="1"/>
    <col min="3" max="3" width="38" customWidth="1"/>
    <col min="4" max="4" width="52" customWidth="1"/>
    <col min="5" max="5" width="32" customWidth="1"/>
    <col min="6" max="6" width="52" customWidth="1"/>
    <col min="7" max="7" width="28" customWidth="1"/>
    <col min="8" max="8" width="11" customWidth="1"/>
    <col min="9" max="9" width="26" customWidth="1"/>
    <col min="10" max="10" width="17" customWidth="1"/>
    <col min="11" max="11" width="10" customWidth="1"/>
    <col min="12" max="12" width="1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92.4" x14ac:dyDescent="0.3">
      <c r="A2" s="2" t="s">
        <v>12</v>
      </c>
      <c r="B2" s="2" t="s">
        <v>13</v>
      </c>
      <c r="C2" s="2" t="s">
        <v>14</v>
      </c>
      <c r="D2" s="2" t="s">
        <v>15</v>
      </c>
      <c r="E2" s="2" t="s">
        <v>16</v>
      </c>
      <c r="F2" s="2" t="s">
        <v>17</v>
      </c>
      <c r="G2" s="2" t="s">
        <v>184</v>
      </c>
      <c r="H2" s="2" t="s">
        <v>164</v>
      </c>
      <c r="I2" s="2" t="s">
        <v>19</v>
      </c>
      <c r="J2" s="2" t="s">
        <v>20</v>
      </c>
      <c r="K2" s="2" t="s">
        <v>21</v>
      </c>
      <c r="L2" s="2" t="s">
        <v>22</v>
      </c>
    </row>
    <row r="3" spans="1:12" ht="118.8" x14ac:dyDescent="0.3">
      <c r="A3" s="2" t="s">
        <v>23</v>
      </c>
      <c r="B3" s="2" t="s">
        <v>24</v>
      </c>
      <c r="C3" s="2" t="s">
        <v>25</v>
      </c>
      <c r="D3" s="2" t="s">
        <v>26</v>
      </c>
      <c r="E3" s="2" t="s">
        <v>185</v>
      </c>
      <c r="F3" s="2" t="s">
        <v>27</v>
      </c>
      <c r="G3" s="2" t="s">
        <v>173</v>
      </c>
      <c r="H3" s="2" t="s">
        <v>164</v>
      </c>
      <c r="I3" s="2" t="s">
        <v>19</v>
      </c>
      <c r="J3" s="2" t="s">
        <v>28</v>
      </c>
      <c r="K3" s="2" t="s">
        <v>29</v>
      </c>
      <c r="L3" s="2" t="s">
        <v>22</v>
      </c>
    </row>
    <row r="4" spans="1:12" ht="79.2" x14ac:dyDescent="0.3">
      <c r="A4" s="2" t="s">
        <v>30</v>
      </c>
      <c r="B4" s="2" t="s">
        <v>31</v>
      </c>
      <c r="C4" s="2" t="s">
        <v>25</v>
      </c>
      <c r="D4" s="2" t="s">
        <v>32</v>
      </c>
      <c r="E4" s="2" t="s">
        <v>33</v>
      </c>
      <c r="F4" s="2" t="s">
        <v>34</v>
      </c>
      <c r="G4" s="2" t="s">
        <v>174</v>
      </c>
      <c r="H4" s="2" t="s">
        <v>164</v>
      </c>
      <c r="I4" s="2" t="s">
        <v>19</v>
      </c>
      <c r="J4" s="2" t="s">
        <v>20</v>
      </c>
      <c r="K4" s="2" t="s">
        <v>21</v>
      </c>
      <c r="L4" s="2" t="s">
        <v>35</v>
      </c>
    </row>
    <row r="5" spans="1:12" ht="92.4" x14ac:dyDescent="0.3">
      <c r="A5" s="2" t="s">
        <v>36</v>
      </c>
      <c r="B5" s="2" t="s">
        <v>37</v>
      </c>
      <c r="C5" s="2" t="s">
        <v>25</v>
      </c>
      <c r="D5" s="2" t="s">
        <v>38</v>
      </c>
      <c r="E5" s="2" t="s">
        <v>39</v>
      </c>
      <c r="F5" s="2" t="s">
        <v>40</v>
      </c>
      <c r="G5" s="2" t="s">
        <v>175</v>
      </c>
      <c r="H5" s="2" t="s">
        <v>164</v>
      </c>
      <c r="I5" s="2" t="s">
        <v>19</v>
      </c>
      <c r="J5" s="2" t="s">
        <v>41</v>
      </c>
      <c r="K5" s="2" t="s">
        <v>21</v>
      </c>
      <c r="L5" s="2" t="s">
        <v>35</v>
      </c>
    </row>
    <row r="6" spans="1:12" ht="132" x14ac:dyDescent="0.3">
      <c r="A6" s="2" t="s">
        <v>42</v>
      </c>
      <c r="B6" s="2" t="s">
        <v>43</v>
      </c>
      <c r="C6" s="2" t="s">
        <v>44</v>
      </c>
      <c r="D6" s="2" t="s">
        <v>45</v>
      </c>
      <c r="E6" s="2" t="s">
        <v>46</v>
      </c>
      <c r="F6" s="2" t="s">
        <v>47</v>
      </c>
      <c r="G6" s="2" t="s">
        <v>176</v>
      </c>
      <c r="H6" s="2" t="s">
        <v>164</v>
      </c>
      <c r="I6" s="2" t="s">
        <v>48</v>
      </c>
      <c r="J6" s="2" t="s">
        <v>20</v>
      </c>
      <c r="K6" s="2" t="s">
        <v>21</v>
      </c>
      <c r="L6" s="2" t="s">
        <v>22</v>
      </c>
    </row>
    <row r="7" spans="1:12" ht="52.8" x14ac:dyDescent="0.3">
      <c r="A7" s="2" t="s">
        <v>49</v>
      </c>
      <c r="B7" s="2" t="s">
        <v>50</v>
      </c>
      <c r="C7" s="2" t="s">
        <v>44</v>
      </c>
      <c r="D7" s="2" t="s">
        <v>51</v>
      </c>
      <c r="E7" s="2" t="s">
        <v>52</v>
      </c>
      <c r="F7" s="2" t="s">
        <v>53</v>
      </c>
      <c r="G7" s="2" t="s">
        <v>53</v>
      </c>
      <c r="H7" s="2" t="s">
        <v>164</v>
      </c>
      <c r="I7" s="2" t="s">
        <v>48</v>
      </c>
      <c r="J7" s="2" t="s">
        <v>28</v>
      </c>
      <c r="K7" s="2" t="s">
        <v>29</v>
      </c>
      <c r="L7" s="2" t="s">
        <v>22</v>
      </c>
    </row>
    <row r="8" spans="1:12" ht="52.8" x14ac:dyDescent="0.3">
      <c r="A8" s="2" t="s">
        <v>54</v>
      </c>
      <c r="B8" s="2" t="s">
        <v>55</v>
      </c>
      <c r="C8" s="2" t="s">
        <v>56</v>
      </c>
      <c r="D8" s="2" t="s">
        <v>57</v>
      </c>
      <c r="E8" s="2" t="s">
        <v>58</v>
      </c>
      <c r="F8" s="2" t="s">
        <v>59</v>
      </c>
      <c r="G8" s="2" t="s">
        <v>177</v>
      </c>
      <c r="H8" s="2" t="s">
        <v>164</v>
      </c>
      <c r="I8" s="2" t="s">
        <v>60</v>
      </c>
      <c r="J8" s="2" t="s">
        <v>28</v>
      </c>
      <c r="K8" s="2" t="s">
        <v>21</v>
      </c>
      <c r="L8" s="2" t="s">
        <v>35</v>
      </c>
    </row>
    <row r="9" spans="1:12" ht="52.8" x14ac:dyDescent="0.3">
      <c r="A9" s="2" t="s">
        <v>61</v>
      </c>
      <c r="B9" s="2" t="s">
        <v>62</v>
      </c>
      <c r="C9" s="2" t="s">
        <v>56</v>
      </c>
      <c r="D9" s="2" t="s">
        <v>63</v>
      </c>
      <c r="E9" s="2" t="s">
        <v>64</v>
      </c>
      <c r="F9" s="2" t="s">
        <v>65</v>
      </c>
      <c r="G9" s="2" t="s">
        <v>178</v>
      </c>
      <c r="H9" s="2" t="s">
        <v>164</v>
      </c>
      <c r="I9" s="2" t="s">
        <v>48</v>
      </c>
      <c r="J9" s="2" t="s">
        <v>41</v>
      </c>
      <c r="K9" s="2" t="s">
        <v>21</v>
      </c>
      <c r="L9" s="2" t="s">
        <v>35</v>
      </c>
    </row>
    <row r="10" spans="1:12" ht="52.8" x14ac:dyDescent="0.3">
      <c r="A10" s="2" t="s">
        <v>66</v>
      </c>
      <c r="B10" s="2" t="s">
        <v>67</v>
      </c>
      <c r="C10" s="2" t="s">
        <v>56</v>
      </c>
      <c r="D10" s="2" t="s">
        <v>68</v>
      </c>
      <c r="E10" s="2" t="s">
        <v>69</v>
      </c>
      <c r="F10" s="2" t="s">
        <v>70</v>
      </c>
      <c r="G10" s="2" t="s">
        <v>179</v>
      </c>
      <c r="H10" s="2" t="s">
        <v>164</v>
      </c>
      <c r="I10" s="2" t="s">
        <v>71</v>
      </c>
      <c r="J10" s="2" t="s">
        <v>28</v>
      </c>
      <c r="K10" s="2" t="s">
        <v>21</v>
      </c>
      <c r="L10" s="2" t="s">
        <v>35</v>
      </c>
    </row>
    <row r="11" spans="1:12" ht="52.8" x14ac:dyDescent="0.3">
      <c r="A11" s="2" t="s">
        <v>72</v>
      </c>
      <c r="B11" s="2" t="s">
        <v>73</v>
      </c>
      <c r="C11" s="2" t="s">
        <v>56</v>
      </c>
      <c r="D11" s="2" t="s">
        <v>74</v>
      </c>
      <c r="E11" s="2" t="s">
        <v>64</v>
      </c>
      <c r="F11" s="2" t="s">
        <v>75</v>
      </c>
      <c r="G11" s="2" t="s">
        <v>180</v>
      </c>
      <c r="H11" s="2" t="s">
        <v>164</v>
      </c>
      <c r="I11" s="2" t="s">
        <v>76</v>
      </c>
      <c r="J11" s="2" t="s">
        <v>20</v>
      </c>
      <c r="K11" s="2" t="s">
        <v>29</v>
      </c>
      <c r="L11" s="2" t="s">
        <v>35</v>
      </c>
    </row>
    <row r="12" spans="1:12" ht="52.8" x14ac:dyDescent="0.3">
      <c r="A12" s="2" t="s">
        <v>77</v>
      </c>
      <c r="B12" s="2" t="s">
        <v>78</v>
      </c>
      <c r="C12" s="2" t="s">
        <v>79</v>
      </c>
      <c r="D12" s="2" t="s">
        <v>80</v>
      </c>
      <c r="E12" s="2" t="s">
        <v>81</v>
      </c>
      <c r="F12" s="2" t="s">
        <v>82</v>
      </c>
      <c r="G12" s="2" t="s">
        <v>181</v>
      </c>
      <c r="H12" s="2" t="s">
        <v>164</v>
      </c>
      <c r="I12" s="2" t="s">
        <v>83</v>
      </c>
      <c r="J12" s="2" t="s">
        <v>20</v>
      </c>
      <c r="K12" s="2" t="s">
        <v>21</v>
      </c>
      <c r="L12" s="2" t="s">
        <v>35</v>
      </c>
    </row>
    <row r="13" spans="1:12" ht="52.8" x14ac:dyDescent="0.3">
      <c r="A13" s="2" t="s">
        <v>84</v>
      </c>
      <c r="B13" s="2" t="s">
        <v>85</v>
      </c>
      <c r="C13" s="2" t="s">
        <v>56</v>
      </c>
      <c r="D13" s="2" t="s">
        <v>86</v>
      </c>
      <c r="E13" s="2" t="s">
        <v>87</v>
      </c>
      <c r="F13" s="2" t="s">
        <v>88</v>
      </c>
      <c r="G13" s="2" t="s">
        <v>182</v>
      </c>
      <c r="H13" s="2" t="s">
        <v>164</v>
      </c>
      <c r="I13" s="2" t="s">
        <v>83</v>
      </c>
      <c r="J13" s="2" t="s">
        <v>41</v>
      </c>
      <c r="K13" s="2" t="s">
        <v>21</v>
      </c>
      <c r="L13" s="2" t="s">
        <v>35</v>
      </c>
    </row>
    <row r="14" spans="1:12" ht="52.8" x14ac:dyDescent="0.3">
      <c r="A14" s="2" t="s">
        <v>89</v>
      </c>
      <c r="B14" s="2" t="s">
        <v>90</v>
      </c>
      <c r="C14" s="2" t="s">
        <v>56</v>
      </c>
      <c r="D14" s="2" t="s">
        <v>91</v>
      </c>
      <c r="E14" s="2" t="s">
        <v>92</v>
      </c>
      <c r="F14" s="2" t="s">
        <v>93</v>
      </c>
      <c r="G14" s="2" t="s">
        <v>93</v>
      </c>
      <c r="H14" s="2" t="s">
        <v>164</v>
      </c>
      <c r="I14" s="2" t="s">
        <v>83</v>
      </c>
      <c r="J14" s="2" t="s">
        <v>28</v>
      </c>
      <c r="K14" s="2" t="s">
        <v>21</v>
      </c>
      <c r="L14" s="2" t="s">
        <v>35</v>
      </c>
    </row>
    <row r="15" spans="1:12" ht="52.8" x14ac:dyDescent="0.3">
      <c r="A15" s="2" t="s">
        <v>94</v>
      </c>
      <c r="B15" s="2" t="s">
        <v>95</v>
      </c>
      <c r="C15" s="2" t="s">
        <v>56</v>
      </c>
      <c r="D15" s="2" t="s">
        <v>96</v>
      </c>
      <c r="E15" s="2" t="s">
        <v>97</v>
      </c>
      <c r="F15" s="2" t="s">
        <v>98</v>
      </c>
      <c r="G15" s="2" t="s">
        <v>183</v>
      </c>
      <c r="H15" s="2" t="s">
        <v>164</v>
      </c>
      <c r="I15" s="2" t="s">
        <v>83</v>
      </c>
      <c r="J15" s="2" t="s">
        <v>99</v>
      </c>
      <c r="K15" s="2" t="s">
        <v>29</v>
      </c>
      <c r="L15" s="2" t="s">
        <v>35</v>
      </c>
    </row>
    <row r="16" spans="1:12" ht="211.2" x14ac:dyDescent="0.3">
      <c r="A16" s="2" t="s">
        <v>100</v>
      </c>
      <c r="B16" s="2" t="s">
        <v>101</v>
      </c>
      <c r="C16" s="2" t="s">
        <v>102</v>
      </c>
      <c r="D16" s="2" t="s">
        <v>103</v>
      </c>
      <c r="E16" s="2" t="s">
        <v>104</v>
      </c>
      <c r="F16" s="2" t="s">
        <v>105</v>
      </c>
      <c r="G16" s="2" t="s">
        <v>186</v>
      </c>
      <c r="H16" s="2" t="s">
        <v>164</v>
      </c>
      <c r="I16" s="2" t="s">
        <v>106</v>
      </c>
      <c r="J16" s="2" t="s">
        <v>107</v>
      </c>
      <c r="K16" s="2" t="s">
        <v>21</v>
      </c>
      <c r="L16" s="2" t="s">
        <v>22</v>
      </c>
    </row>
    <row r="17" spans="1:12" ht="105.6" x14ac:dyDescent="0.3">
      <c r="A17" s="2" t="s">
        <v>108</v>
      </c>
      <c r="B17" s="2" t="s">
        <v>109</v>
      </c>
      <c r="C17" s="2" t="s">
        <v>56</v>
      </c>
      <c r="D17" s="2" t="s">
        <v>110</v>
      </c>
      <c r="E17" s="2" t="s">
        <v>111</v>
      </c>
      <c r="F17" s="2" t="s">
        <v>112</v>
      </c>
      <c r="G17" s="2" t="s">
        <v>187</v>
      </c>
      <c r="H17" s="2" t="s">
        <v>164</v>
      </c>
      <c r="I17" s="2" t="s">
        <v>106</v>
      </c>
      <c r="J17" s="2" t="s">
        <v>99</v>
      </c>
      <c r="K17" s="2" t="s">
        <v>21</v>
      </c>
      <c r="L17" s="2" t="s">
        <v>35</v>
      </c>
    </row>
    <row r="18" spans="1:12" ht="92.4" x14ac:dyDescent="0.3">
      <c r="A18" s="2" t="s">
        <v>113</v>
      </c>
      <c r="B18" s="2" t="s">
        <v>114</v>
      </c>
      <c r="C18" s="2" t="s">
        <v>56</v>
      </c>
      <c r="D18" s="2" t="s">
        <v>115</v>
      </c>
      <c r="E18" s="2" t="s">
        <v>116</v>
      </c>
      <c r="F18" s="2" t="s">
        <v>117</v>
      </c>
      <c r="G18" s="2" t="s">
        <v>188</v>
      </c>
      <c r="H18" s="2" t="s">
        <v>164</v>
      </c>
      <c r="I18" s="2" t="s">
        <v>106</v>
      </c>
      <c r="J18" s="2" t="s">
        <v>41</v>
      </c>
      <c r="K18" s="2" t="s">
        <v>21</v>
      </c>
      <c r="L18" s="2" t="s">
        <v>35</v>
      </c>
    </row>
    <row r="19" spans="1:12" ht="66" x14ac:dyDescent="0.3">
      <c r="A19" s="2" t="s">
        <v>118</v>
      </c>
      <c r="B19" s="2" t="s">
        <v>119</v>
      </c>
      <c r="C19" s="2" t="s">
        <v>56</v>
      </c>
      <c r="D19" s="2" t="s">
        <v>120</v>
      </c>
      <c r="E19" s="2" t="s">
        <v>121</v>
      </c>
      <c r="F19" s="2" t="s">
        <v>122</v>
      </c>
      <c r="G19" s="2" t="s">
        <v>189</v>
      </c>
      <c r="H19" s="2" t="s">
        <v>164</v>
      </c>
      <c r="I19" s="2" t="s">
        <v>71</v>
      </c>
      <c r="J19" s="2" t="s">
        <v>41</v>
      </c>
      <c r="K19" s="2" t="s">
        <v>21</v>
      </c>
      <c r="L19" s="2" t="s">
        <v>35</v>
      </c>
    </row>
    <row r="20" spans="1:12" ht="66" x14ac:dyDescent="0.3">
      <c r="A20" s="2" t="s">
        <v>123</v>
      </c>
      <c r="B20" s="2" t="s">
        <v>124</v>
      </c>
      <c r="C20" s="2" t="s">
        <v>56</v>
      </c>
      <c r="D20" s="2" t="s">
        <v>125</v>
      </c>
      <c r="E20" s="2" t="s">
        <v>116</v>
      </c>
      <c r="F20" s="2" t="s">
        <v>126</v>
      </c>
      <c r="G20" s="2" t="s">
        <v>190</v>
      </c>
      <c r="H20" s="2" t="s">
        <v>164</v>
      </c>
      <c r="I20" s="2" t="s">
        <v>106</v>
      </c>
      <c r="J20" s="2" t="s">
        <v>28</v>
      </c>
      <c r="K20" s="2" t="s">
        <v>21</v>
      </c>
      <c r="L20" s="2" t="s">
        <v>35</v>
      </c>
    </row>
    <row r="21" spans="1:12" ht="92.4" x14ac:dyDescent="0.3">
      <c r="A21" s="2" t="s">
        <v>127</v>
      </c>
      <c r="B21" s="2" t="s">
        <v>128</v>
      </c>
      <c r="C21" s="2" t="s">
        <v>56</v>
      </c>
      <c r="D21" s="2" t="s">
        <v>129</v>
      </c>
      <c r="E21" s="2" t="s">
        <v>130</v>
      </c>
      <c r="F21" s="2" t="s">
        <v>131</v>
      </c>
      <c r="G21" s="2" t="s">
        <v>191</v>
      </c>
      <c r="H21" s="2" t="s">
        <v>164</v>
      </c>
      <c r="I21" s="2" t="s">
        <v>132</v>
      </c>
      <c r="J21" s="2" t="s">
        <v>41</v>
      </c>
      <c r="K21" s="2" t="s">
        <v>21</v>
      </c>
      <c r="L21" s="2" t="s">
        <v>35</v>
      </c>
    </row>
    <row r="22" spans="1:12" ht="118.8" x14ac:dyDescent="0.3">
      <c r="A22" s="2" t="s">
        <v>133</v>
      </c>
      <c r="B22" s="2" t="s">
        <v>134</v>
      </c>
      <c r="C22" s="2" t="s">
        <v>56</v>
      </c>
      <c r="D22" s="2" t="s">
        <v>135</v>
      </c>
      <c r="E22" s="2" t="s">
        <v>39</v>
      </c>
      <c r="F22" s="2" t="s">
        <v>136</v>
      </c>
      <c r="G22" s="2" t="s">
        <v>192</v>
      </c>
      <c r="H22" s="2" t="s">
        <v>164</v>
      </c>
      <c r="I22" s="2" t="s">
        <v>71</v>
      </c>
      <c r="J22" s="2" t="s">
        <v>41</v>
      </c>
      <c r="K22" s="2" t="s">
        <v>21</v>
      </c>
      <c r="L22" s="2" t="s">
        <v>35</v>
      </c>
    </row>
    <row r="23" spans="1:12" ht="52.8" x14ac:dyDescent="0.3">
      <c r="A23" s="2" t="s">
        <v>137</v>
      </c>
      <c r="B23" s="2" t="s">
        <v>144</v>
      </c>
      <c r="C23" s="2" t="s">
        <v>56</v>
      </c>
      <c r="D23" s="2" t="s">
        <v>145</v>
      </c>
      <c r="E23" s="2" t="s">
        <v>39</v>
      </c>
      <c r="F23" s="2" t="s">
        <v>146</v>
      </c>
      <c r="G23" s="2" t="s">
        <v>193</v>
      </c>
      <c r="H23" s="2" t="s">
        <v>164</v>
      </c>
      <c r="I23" s="2" t="s">
        <v>143</v>
      </c>
      <c r="J23" s="2" t="s">
        <v>41</v>
      </c>
      <c r="K23" s="2" t="s">
        <v>21</v>
      </c>
      <c r="L23" s="2" t="s">
        <v>35</v>
      </c>
    </row>
    <row r="24" spans="1:12" ht="79.2" x14ac:dyDescent="0.3">
      <c r="A24" s="2" t="s">
        <v>139</v>
      </c>
      <c r="B24" s="2" t="s">
        <v>147</v>
      </c>
      <c r="C24" s="2" t="s">
        <v>56</v>
      </c>
      <c r="D24" s="2" t="s">
        <v>148</v>
      </c>
      <c r="E24" s="2" t="s">
        <v>149</v>
      </c>
      <c r="F24" s="2" t="s">
        <v>150</v>
      </c>
      <c r="G24" s="2" t="s">
        <v>194</v>
      </c>
      <c r="H24" s="2" t="s">
        <v>164</v>
      </c>
      <c r="I24" s="2" t="s">
        <v>76</v>
      </c>
      <c r="J24" s="2" t="s">
        <v>20</v>
      </c>
      <c r="K24" s="2" t="s">
        <v>21</v>
      </c>
      <c r="L24" s="2" t="s">
        <v>35</v>
      </c>
    </row>
    <row r="25" spans="1:12" ht="66" x14ac:dyDescent="0.3">
      <c r="A25" s="2" t="s">
        <v>141</v>
      </c>
      <c r="B25" s="2" t="s">
        <v>151</v>
      </c>
      <c r="C25" s="2" t="s">
        <v>152</v>
      </c>
      <c r="D25" s="2" t="s">
        <v>153</v>
      </c>
      <c r="E25" s="2" t="s">
        <v>154</v>
      </c>
      <c r="F25" s="2" t="s">
        <v>155</v>
      </c>
      <c r="G25" s="2" t="s">
        <v>195</v>
      </c>
      <c r="H25" s="2" t="s">
        <v>164</v>
      </c>
      <c r="I25" s="2" t="s">
        <v>106</v>
      </c>
      <c r="J25" s="2" t="s">
        <v>99</v>
      </c>
      <c r="K25" s="2" t="s">
        <v>29</v>
      </c>
      <c r="L25" s="2" t="s">
        <v>156</v>
      </c>
    </row>
    <row r="26" spans="1:12" ht="132" x14ac:dyDescent="0.3">
      <c r="A26" s="2" t="s">
        <v>142</v>
      </c>
      <c r="B26" s="2" t="s">
        <v>157</v>
      </c>
      <c r="C26" s="2" t="s">
        <v>158</v>
      </c>
      <c r="D26" s="2" t="s">
        <v>159</v>
      </c>
      <c r="E26" s="2" t="s">
        <v>39</v>
      </c>
      <c r="F26" s="2" t="s">
        <v>160</v>
      </c>
      <c r="G26" s="2" t="s">
        <v>196</v>
      </c>
      <c r="H26" s="2" t="s">
        <v>164</v>
      </c>
      <c r="I26" s="2" t="s">
        <v>161</v>
      </c>
      <c r="J26" s="2" t="s">
        <v>20</v>
      </c>
      <c r="K26" s="2" t="s">
        <v>21</v>
      </c>
      <c r="L26" s="2" t="s">
        <v>22</v>
      </c>
    </row>
  </sheetData>
  <autoFilter ref="A1:L26" xr:uid="{00000000-0009-0000-0000-000000000000}"/>
  <conditionalFormatting sqref="H2:H26">
    <cfRule type="cellIs" dxfId="2" priority="2" operator="equal">
      <formula>"Pass"</formula>
    </cfRule>
    <cfRule type="cellIs" dxfId="1" priority="3" operator="equal">
      <formula>"Fail"</formula>
    </cfRule>
    <cfRule type="cellIs" dxfId="0" priority="4" operator="equal">
      <formula>"Blocked"</formula>
    </cfRule>
  </conditionalFormatting>
  <dataValidations count="1">
    <dataValidation type="list" sqref="H2:H26" xr:uid="{00000000-0002-0000-0000-000000000000}">
      <formula1>"Not Run,Pass,Fail,Blocked"</formula1>
      <formula2>0</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topLeftCell="A2" zoomScaleNormal="100" workbookViewId="0">
      <selection activeCell="C4" sqref="C4"/>
    </sheetView>
  </sheetViews>
  <sheetFormatPr defaultColWidth="8.6640625" defaultRowHeight="14.4" x14ac:dyDescent="0.3"/>
  <cols>
    <col min="1" max="1" width="30" customWidth="1"/>
    <col min="2" max="2" width="12" customWidth="1"/>
  </cols>
  <sheetData>
    <row r="1" spans="1:2" ht="17.399999999999999" x14ac:dyDescent="0.3">
      <c r="A1" s="3" t="s">
        <v>162</v>
      </c>
    </row>
    <row r="3" spans="1:2" x14ac:dyDescent="0.3">
      <c r="A3" s="4" t="s">
        <v>7</v>
      </c>
      <c r="B3" s="4" t="s">
        <v>163</v>
      </c>
    </row>
    <row r="4" spans="1:2" x14ac:dyDescent="0.3">
      <c r="A4" s="5" t="s">
        <v>164</v>
      </c>
      <c r="B4" s="5">
        <f>COUNTIF('Test Cases'!$H$2:$H$26,A4)</f>
        <v>25</v>
      </c>
    </row>
    <row r="5" spans="1:2" x14ac:dyDescent="0.3">
      <c r="A5" s="5" t="s">
        <v>165</v>
      </c>
      <c r="B5" s="5">
        <f>COUNTIF('Test Cases'!$H$2:$H$26,A5)</f>
        <v>0</v>
      </c>
    </row>
    <row r="6" spans="1:2" x14ac:dyDescent="0.3">
      <c r="A6" s="5" t="s">
        <v>166</v>
      </c>
      <c r="B6" s="5">
        <f>COUNTIF('Test Cases'!$H$2:$H$26,A6)</f>
        <v>0</v>
      </c>
    </row>
    <row r="7" spans="1:2" x14ac:dyDescent="0.3">
      <c r="A7" s="5" t="s">
        <v>18</v>
      </c>
      <c r="B7" s="5">
        <f>COUNTIF('Test Cases'!$H$2:$H$26,A7)</f>
        <v>0</v>
      </c>
    </row>
    <row r="8" spans="1:2" x14ac:dyDescent="0.3">
      <c r="A8" s="5" t="s">
        <v>167</v>
      </c>
      <c r="B8" s="5">
        <f>SUM(B4:B7)</f>
        <v>25</v>
      </c>
    </row>
    <row r="9" spans="1:2" x14ac:dyDescent="0.3">
      <c r="A9" s="5" t="s">
        <v>168</v>
      </c>
      <c r="B9" s="6">
        <f>IFERROR(B4/(B8-B7),0)</f>
        <v>1</v>
      </c>
    </row>
    <row r="11" spans="1:2" ht="15.6" x14ac:dyDescent="0.3">
      <c r="A11" s="7" t="s">
        <v>169</v>
      </c>
    </row>
    <row r="12" spans="1:2" x14ac:dyDescent="0.3">
      <c r="A12" s="4" t="s">
        <v>9</v>
      </c>
      <c r="B12" s="4" t="s">
        <v>170</v>
      </c>
    </row>
    <row r="13" spans="1:2" x14ac:dyDescent="0.3">
      <c r="A13" s="5" t="s">
        <v>20</v>
      </c>
      <c r="B13" s="5">
        <f>COUNTIF('Test Cases'!$J$2:$J$26,A13)</f>
        <v>7</v>
      </c>
    </row>
    <row r="14" spans="1:2" x14ac:dyDescent="0.3">
      <c r="A14" s="5" t="s">
        <v>28</v>
      </c>
      <c r="B14" s="5">
        <f>COUNTIF('Test Cases'!$J$2:$J$26,A14)</f>
        <v>6</v>
      </c>
    </row>
    <row r="15" spans="1:2" x14ac:dyDescent="0.3">
      <c r="A15" s="5" t="s">
        <v>107</v>
      </c>
      <c r="B15" s="5">
        <f>COUNTIF('Test Cases'!$J$2:$J$26,A15)</f>
        <v>1</v>
      </c>
    </row>
    <row r="16" spans="1:2" x14ac:dyDescent="0.3">
      <c r="A16" s="5" t="s">
        <v>99</v>
      </c>
      <c r="B16" s="5">
        <f>COUNTIF('Test Cases'!$J$2:$J$26,A16)</f>
        <v>3</v>
      </c>
    </row>
    <row r="17" spans="1:2" x14ac:dyDescent="0.3">
      <c r="A17" s="5" t="s">
        <v>41</v>
      </c>
      <c r="B17" s="5">
        <f>COUNTIF('Test Cases'!$J$2:$J$26,A17)</f>
        <v>8</v>
      </c>
    </row>
    <row r="19" spans="1:2" ht="15.6" x14ac:dyDescent="0.3">
      <c r="A19" s="7" t="s">
        <v>171</v>
      </c>
    </row>
    <row r="20" spans="1:2" x14ac:dyDescent="0.3">
      <c r="A20" s="4" t="s">
        <v>8</v>
      </c>
      <c r="B20" s="4" t="s">
        <v>170</v>
      </c>
    </row>
    <row r="21" spans="1:2" x14ac:dyDescent="0.3">
      <c r="A21" s="5" t="s">
        <v>19</v>
      </c>
      <c r="B21" s="5">
        <f>COUNTIF('Test Cases'!$I$2:$I$26,A21)</f>
        <v>4</v>
      </c>
    </row>
    <row r="22" spans="1:2" x14ac:dyDescent="0.3">
      <c r="A22" s="5" t="s">
        <v>48</v>
      </c>
      <c r="B22" s="5">
        <f>COUNTIF('Test Cases'!$I$2:$I$26,A22)</f>
        <v>3</v>
      </c>
    </row>
    <row r="23" spans="1:2" x14ac:dyDescent="0.3">
      <c r="A23" s="5" t="s">
        <v>60</v>
      </c>
      <c r="B23" s="5">
        <f>COUNTIF('Test Cases'!$I$2:$I$26,A23)</f>
        <v>1</v>
      </c>
    </row>
    <row r="24" spans="1:2" x14ac:dyDescent="0.3">
      <c r="A24" s="5" t="s">
        <v>71</v>
      </c>
      <c r="B24" s="5">
        <f>COUNTIF('Test Cases'!$I$2:$I$26,A24)</f>
        <v>3</v>
      </c>
    </row>
    <row r="25" spans="1:2" x14ac:dyDescent="0.3">
      <c r="A25" s="5" t="s">
        <v>76</v>
      </c>
      <c r="B25" s="5">
        <f>COUNTIF('Test Cases'!$I$2:$I$26,A25)</f>
        <v>2</v>
      </c>
    </row>
    <row r="26" spans="1:2" x14ac:dyDescent="0.3">
      <c r="A26" s="5" t="s">
        <v>83</v>
      </c>
      <c r="B26" s="5">
        <f>COUNTIF('Test Cases'!$I$2:$I$26,A26)</f>
        <v>4</v>
      </c>
    </row>
    <row r="27" spans="1:2" x14ac:dyDescent="0.3">
      <c r="A27" s="5" t="s">
        <v>106</v>
      </c>
      <c r="B27" s="5">
        <f>COUNTIF('Test Cases'!$I$2:$I$26,A27)</f>
        <v>5</v>
      </c>
    </row>
    <row r="28" spans="1:2" x14ac:dyDescent="0.3">
      <c r="A28" s="5" t="s">
        <v>132</v>
      </c>
      <c r="B28" s="5">
        <f>COUNTIF('Test Cases'!$I$2:$I$26,A28)</f>
        <v>1</v>
      </c>
    </row>
    <row r="29" spans="1:2" x14ac:dyDescent="0.3">
      <c r="A29" s="5" t="s">
        <v>138</v>
      </c>
      <c r="B29" s="5">
        <f>COUNTIF('Test Cases'!$I$2:$I$26,A29)</f>
        <v>0</v>
      </c>
    </row>
    <row r="30" spans="1:2" x14ac:dyDescent="0.3">
      <c r="A30" s="5" t="s">
        <v>140</v>
      </c>
      <c r="B30" s="5">
        <f>COUNTIF('Test Cases'!$I$2:$I$26,A30)</f>
        <v>0</v>
      </c>
    </row>
    <row r="31" spans="1:2" x14ac:dyDescent="0.3">
      <c r="A31" s="5" t="s">
        <v>143</v>
      </c>
      <c r="B31" s="5">
        <f>COUNTIF('Test Cases'!$I$2:$I$26,A31)</f>
        <v>1</v>
      </c>
    </row>
    <row r="32" spans="1:2" x14ac:dyDescent="0.3">
      <c r="A32" s="5" t="s">
        <v>161</v>
      </c>
      <c r="B32" s="5">
        <f>COUNTIF('Test Cases'!$I$2:$I$26,A32)</f>
        <v>1</v>
      </c>
    </row>
    <row r="34" spans="1:2" ht="15.6" x14ac:dyDescent="0.3">
      <c r="A34" s="7" t="s">
        <v>172</v>
      </c>
    </row>
    <row r="35" spans="1:2" x14ac:dyDescent="0.3">
      <c r="A35" s="4" t="s">
        <v>11</v>
      </c>
      <c r="B35" s="4" t="s">
        <v>170</v>
      </c>
    </row>
    <row r="36" spans="1:2" x14ac:dyDescent="0.3">
      <c r="A36" s="5" t="s">
        <v>22</v>
      </c>
      <c r="B36" s="5">
        <f>COUNTIF('Test Cases'!$L$2:$L$26,A36)</f>
        <v>6</v>
      </c>
    </row>
    <row r="37" spans="1:2" x14ac:dyDescent="0.3">
      <c r="A37" s="5" t="s">
        <v>35</v>
      </c>
      <c r="B37" s="5">
        <f>COUNTIF('Test Cases'!$L$2:$L$26,A37)</f>
        <v>18</v>
      </c>
    </row>
    <row r="38" spans="1:2" x14ac:dyDescent="0.3">
      <c r="A38" s="5" t="s">
        <v>156</v>
      </c>
      <c r="B38" s="5">
        <f>COUNTIF('Test Cases'!$L$2:$L$26,A38)</f>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Anushri Nagpure</cp:lastModifiedBy>
  <cp:revision>0</cp:revision>
  <dcterms:created xsi:type="dcterms:W3CDTF">2026-10-08T04:31:04Z</dcterms:created>
  <dcterms:modified xsi:type="dcterms:W3CDTF">2026-10-08T09:29:57Z</dcterms:modified>
  <dc:language>en-US</dc:language>
</cp:coreProperties>
</file>